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se_BancoPan\data\insights\insights-final\"/>
    </mc:Choice>
  </mc:AlternateContent>
  <xr:revisionPtr revIDLastSave="0" documentId="13_ncr:1_{6E8BABC0-6FAC-47C1-816A-3B78B820088A}" xr6:coauthVersionLast="47" xr6:coauthVersionMax="47" xr10:uidLastSave="{00000000-0000-0000-0000-000000000000}"/>
  <bookViews>
    <workbookView xWindow="19090" yWindow="-110" windowWidth="19420" windowHeight="10300" activeTab="2" xr2:uid="{EC82A7CE-F880-42CB-A2ED-931795B7ECA4}"/>
  </bookViews>
  <sheets>
    <sheet name="Rendamedia_Idademedia" sheetId="3" r:id="rId1"/>
    <sheet name="RENDA POR  CATEGORIA" sheetId="4" r:id="rId2"/>
    <sheet name="Divergencia_Qtd_uf" sheetId="2" r:id="rId3"/>
  </sheets>
  <definedNames>
    <definedName name="DadosExternos_1" localSheetId="2" hidden="1">Divergencia_Qtd_uf!$A$1:$D$25</definedName>
    <definedName name="DadosExternos_2" localSheetId="1" hidden="1">'RENDA POR  CATEGORIA'!$A$1:$B$5</definedName>
    <definedName name="DadosExternos_2" localSheetId="0" hidden="1">'Rendamedia_Idademedia'!$A$1:$C$25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E28" i="2"/>
  <c r="E27" i="2"/>
  <c r="C27" i="2"/>
  <c r="D27" i="2"/>
  <c r="B2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684E65-7274-43FA-BADC-332E1058CDCA}" keepAlive="1" name="Consulta - Divergencia_Qtd_uf" description="Conexão com a consulta 'Divergencia_Qtd_uf' na pasta de trabalho." type="5" refreshedVersion="8" background="1" saveData="1">
    <dbPr connection="Provider=Microsoft.Mashup.OleDb.1;Data Source=$Workbook$;Location=Divergencia_Qtd_uf;Extended Properties=&quot;&quot;" command="SELECT * FROM [Divergencia_Qtd_uf]"/>
  </connection>
  <connection id="2" xr16:uid="{C78FE123-94E8-429A-8BD6-AE7730492810}" keepAlive="1" name="Consulta - RENDA POR  CATEGORIA" description="Conexão com a consulta 'RENDA POR  CATEGORIA' na pasta de trabalho." type="5" refreshedVersion="8" background="1" saveData="1">
    <dbPr connection="Provider=Microsoft.Mashup.OleDb.1;Data Source=$Workbook$;Location=&quot;RENDA POR  CATEGORIA&quot;;Extended Properties=&quot;&quot;" command="SELECT * FROM [RENDA POR  CATEGORIA]"/>
  </connection>
  <connection id="3" xr16:uid="{0729443F-F8A0-44FA-A910-E20451CE3E38}" keepAlive="1" name="Consulta - Rendamedia_Idademedia" description="Conexão com a consulta 'Rendamedia_Idademedia' na pasta de trabalho." type="5" refreshedVersion="8" background="1" saveData="1">
    <dbPr connection="Provider=Microsoft.Mashup.OleDb.1;Data Source=$Workbook$;Location=Rendamedia_Idademedia;Extended Properties=&quot;&quot;" command="SELECT * FROM [Rendamedia_Idademedia]"/>
  </connection>
</connections>
</file>

<file path=xl/sharedStrings.xml><?xml version="1.0" encoding="utf-8"?>
<sst xmlns="http://schemas.openxmlformats.org/spreadsheetml/2006/main" count="61" uniqueCount="36">
  <si>
    <t>UF</t>
  </si>
  <si>
    <t>Qtd_BaseGeral</t>
  </si>
  <si>
    <t>Qtd_BaseUF</t>
  </si>
  <si>
    <t>Diferença</t>
  </si>
  <si>
    <t>PE</t>
  </si>
  <si>
    <t>PB</t>
  </si>
  <si>
    <t>PA</t>
  </si>
  <si>
    <t>RS</t>
  </si>
  <si>
    <t>AC</t>
  </si>
  <si>
    <t>BA</t>
  </si>
  <si>
    <t>SC</t>
  </si>
  <si>
    <t>MA</t>
  </si>
  <si>
    <t>RO</t>
  </si>
  <si>
    <t>DF</t>
  </si>
  <si>
    <t>MT</t>
  </si>
  <si>
    <t>PR</t>
  </si>
  <si>
    <t>CE</t>
  </si>
  <si>
    <t>AL</t>
  </si>
  <si>
    <t>RR</t>
  </si>
  <si>
    <t>MG</t>
  </si>
  <si>
    <t>MS</t>
  </si>
  <si>
    <t>GO</t>
  </si>
  <si>
    <t>RN</t>
  </si>
  <si>
    <t>AP</t>
  </si>
  <si>
    <t>RJ</t>
  </si>
  <si>
    <t>ES</t>
  </si>
  <si>
    <t>AM</t>
  </si>
  <si>
    <t>PI</t>
  </si>
  <si>
    <t>Renda Media</t>
  </si>
  <si>
    <t>Idade Media</t>
  </si>
  <si>
    <t>Categoria</t>
  </si>
  <si>
    <t>Renda (media)</t>
  </si>
  <si>
    <t>Alta Renda (&gt;6k)</t>
  </si>
  <si>
    <t>Classe Média Baixa (2-6k)</t>
  </si>
  <si>
    <t>Baixa Renda (&lt;2k)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</si>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</sst>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NumberFormat="1"/>
  </cellXfs>
  <cellStyles count="2">
    <cellStyle name="Normal" xfId="0" builtinId="0"/>
    <cellStyle name="Porcentagem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UF x Renda e Idade (média)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'Rendamedia_Idademedia'!$B$1</c:f>
              <c:strCache>
                <c:ptCount val="1"/>
                <c:pt idx="0">
                  <c:v>Renda Media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'Rendamedia_Idademedia'!$A$2:$A$25</c:f>
              <c:strCache>
                <c:ptCount val="24"/>
                <c:pt idx="0">
                  <c:v>GO</c:v>
                </c:pt>
                <c:pt idx="1">
                  <c:v>MA</c:v>
                </c:pt>
                <c:pt idx="2">
                  <c:v>RS</c:v>
                </c:pt>
                <c:pt idx="3">
                  <c:v>BA</c:v>
                </c:pt>
                <c:pt idx="4">
                  <c:v>PE</c:v>
                </c:pt>
                <c:pt idx="5">
                  <c:v>RO</c:v>
                </c:pt>
                <c:pt idx="6">
                  <c:v>MG</c:v>
                </c:pt>
                <c:pt idx="7">
                  <c:v>PR</c:v>
                </c:pt>
                <c:pt idx="8">
                  <c:v>DF</c:v>
                </c:pt>
                <c:pt idx="9">
                  <c:v>RR</c:v>
                </c:pt>
                <c:pt idx="10">
                  <c:v>RN</c:v>
                </c:pt>
                <c:pt idx="11">
                  <c:v>CE</c:v>
                </c:pt>
                <c:pt idx="12">
                  <c:v>MT</c:v>
                </c:pt>
                <c:pt idx="13">
                  <c:v>MS</c:v>
                </c:pt>
                <c:pt idx="14">
                  <c:v>SC</c:v>
                </c:pt>
                <c:pt idx="15">
                  <c:v>PI</c:v>
                </c:pt>
                <c:pt idx="16">
                  <c:v>RJ</c:v>
                </c:pt>
                <c:pt idx="17">
                  <c:v>ES</c:v>
                </c:pt>
                <c:pt idx="18">
                  <c:v>AC</c:v>
                </c:pt>
                <c:pt idx="19">
                  <c:v>PB</c:v>
                </c:pt>
                <c:pt idx="20">
                  <c:v>AM</c:v>
                </c:pt>
                <c:pt idx="21">
                  <c:v>AL</c:v>
                </c:pt>
                <c:pt idx="22">
                  <c:v>AP</c:v>
                </c:pt>
                <c:pt idx="23">
                  <c:v>PA</c:v>
                </c:pt>
              </c:strCache>
            </c:strRef>
          </c:cat>
          <c:val>
            <c:numRef>
              <c:f>'Rendamedia_Idademedia'!$B$2:$B$25</c:f>
              <c:numCache>
                <c:formatCode>General</c:formatCode>
                <c:ptCount val="24"/>
                <c:pt idx="0">
                  <c:v>50294</c:v>
                </c:pt>
                <c:pt idx="1">
                  <c:v>50285</c:v>
                </c:pt>
                <c:pt idx="2">
                  <c:v>50240</c:v>
                </c:pt>
                <c:pt idx="3">
                  <c:v>50239</c:v>
                </c:pt>
                <c:pt idx="4">
                  <c:v>50184</c:v>
                </c:pt>
                <c:pt idx="5">
                  <c:v>50067</c:v>
                </c:pt>
                <c:pt idx="6">
                  <c:v>50064</c:v>
                </c:pt>
                <c:pt idx="7">
                  <c:v>50060</c:v>
                </c:pt>
                <c:pt idx="8">
                  <c:v>50054</c:v>
                </c:pt>
                <c:pt idx="9">
                  <c:v>50046</c:v>
                </c:pt>
                <c:pt idx="10">
                  <c:v>50014</c:v>
                </c:pt>
                <c:pt idx="11">
                  <c:v>49984</c:v>
                </c:pt>
                <c:pt idx="12">
                  <c:v>49982</c:v>
                </c:pt>
                <c:pt idx="13">
                  <c:v>49976</c:v>
                </c:pt>
                <c:pt idx="14">
                  <c:v>49966</c:v>
                </c:pt>
                <c:pt idx="15">
                  <c:v>49944</c:v>
                </c:pt>
                <c:pt idx="16">
                  <c:v>49897</c:v>
                </c:pt>
                <c:pt idx="17">
                  <c:v>49872</c:v>
                </c:pt>
                <c:pt idx="18">
                  <c:v>49786</c:v>
                </c:pt>
                <c:pt idx="19">
                  <c:v>49768</c:v>
                </c:pt>
                <c:pt idx="20">
                  <c:v>49738</c:v>
                </c:pt>
                <c:pt idx="21">
                  <c:v>49722</c:v>
                </c:pt>
                <c:pt idx="22">
                  <c:v>49675</c:v>
                </c:pt>
                <c:pt idx="23">
                  <c:v>49619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A-4C38-9FD0-AFFAAB06286D}"/>
            </c:ext>
          </c:extLst>
        </c:ser>
        <c:ser>
          <c:idx val="1"/>
          <c:order val="1"/>
          <c:tx>
            <c:strRef>
              <c:f>'Rendamedia_Idademedia'!$C$1</c:f>
              <c:strCache>
                <c:ptCount val="1"/>
                <c:pt idx="0">
                  <c:v>Idade Media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'Rendamedia_Idademedia'!$A$2:$A$25</c:f>
              <c:strCache>
                <c:ptCount val="24"/>
                <c:pt idx="0">
                  <c:v>GO</c:v>
                </c:pt>
                <c:pt idx="1">
                  <c:v>MA</c:v>
                </c:pt>
                <c:pt idx="2">
                  <c:v>RS</c:v>
                </c:pt>
                <c:pt idx="3">
                  <c:v>BA</c:v>
                </c:pt>
                <c:pt idx="4">
                  <c:v>PE</c:v>
                </c:pt>
                <c:pt idx="5">
                  <c:v>RO</c:v>
                </c:pt>
                <c:pt idx="6">
                  <c:v>MG</c:v>
                </c:pt>
                <c:pt idx="7">
                  <c:v>PR</c:v>
                </c:pt>
                <c:pt idx="8">
                  <c:v>DF</c:v>
                </c:pt>
                <c:pt idx="9">
                  <c:v>RR</c:v>
                </c:pt>
                <c:pt idx="10">
                  <c:v>RN</c:v>
                </c:pt>
                <c:pt idx="11">
                  <c:v>CE</c:v>
                </c:pt>
                <c:pt idx="12">
                  <c:v>MT</c:v>
                </c:pt>
                <c:pt idx="13">
                  <c:v>MS</c:v>
                </c:pt>
                <c:pt idx="14">
                  <c:v>SC</c:v>
                </c:pt>
                <c:pt idx="15">
                  <c:v>PI</c:v>
                </c:pt>
                <c:pt idx="16">
                  <c:v>RJ</c:v>
                </c:pt>
                <c:pt idx="17">
                  <c:v>ES</c:v>
                </c:pt>
                <c:pt idx="18">
                  <c:v>AC</c:v>
                </c:pt>
                <c:pt idx="19">
                  <c:v>PB</c:v>
                </c:pt>
                <c:pt idx="20">
                  <c:v>AM</c:v>
                </c:pt>
                <c:pt idx="21">
                  <c:v>AL</c:v>
                </c:pt>
                <c:pt idx="22">
                  <c:v>AP</c:v>
                </c:pt>
                <c:pt idx="23">
                  <c:v>PA</c:v>
                </c:pt>
              </c:strCache>
            </c:strRef>
          </c:cat>
          <c:val>
            <c:numRef>
              <c:f>'Rendamedia_Idademedia'!$C$2:$C$25</c:f>
              <c:numCache>
                <c:formatCode>General</c:formatCode>
                <c:ptCount val="24"/>
                <c:pt idx="0">
                  <c:v>53</c:v>
                </c:pt>
                <c:pt idx="1">
                  <c:v>52</c:v>
                </c:pt>
                <c:pt idx="2">
                  <c:v>52</c:v>
                </c:pt>
                <c:pt idx="3">
                  <c:v>53</c:v>
                </c:pt>
                <c:pt idx="4">
                  <c:v>52</c:v>
                </c:pt>
                <c:pt idx="5">
                  <c:v>52</c:v>
                </c:pt>
                <c:pt idx="6">
                  <c:v>51</c:v>
                </c:pt>
                <c:pt idx="7">
                  <c:v>52</c:v>
                </c:pt>
                <c:pt idx="8">
                  <c:v>53</c:v>
                </c:pt>
                <c:pt idx="9">
                  <c:v>52</c:v>
                </c:pt>
                <c:pt idx="10">
                  <c:v>52</c:v>
                </c:pt>
                <c:pt idx="11">
                  <c:v>53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53</c:v>
                </c:pt>
                <c:pt idx="18">
                  <c:v>52</c:v>
                </c:pt>
                <c:pt idx="19">
                  <c:v>52</c:v>
                </c:pt>
                <c:pt idx="20">
                  <c:v>52</c:v>
                </c:pt>
                <c:pt idx="21">
                  <c:v>52</c:v>
                </c:pt>
                <c:pt idx="22">
                  <c:v>52</c:v>
                </c:pt>
                <c:pt idx="2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A-4C38-9FD0-AFFAAB062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61551"/>
        <c:axId val="17688911"/>
      </c:barChart>
      <c:catAx>
        <c:axId val="1766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88911"/>
        <c:crosses val="autoZero"/>
        <c:auto val="1"/>
        <c:lblAlgn val="ctr"/>
        <c:lblOffset val="100"/>
        <c:noMultiLvlLbl val="0"/>
      </c:catAx>
      <c:valAx>
        <c:axId val="17688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6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'RENDA POR  CATEGORIA'!$B$1</c:f>
              <c:strCache>
                <c:ptCount val="1"/>
                <c:pt idx="0">
                  <c:v>Renda (media)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'RENDA POR  CATEGORIA'!$A$2:$A$5</c:f>
              <c:strCache>
                <c:ptCount val="4"/>
                <c:pt idx="0">
                  <c:v>Alta Renda (&gt;6k)</c:v>
                </c:pt>
                <c:pt idx="1">
                  <c:v>Classe Média Baixa (2-6k)</c:v>
                </c:pt>
                <c:pt idx="2">
                  <c:v>Baixa Renda (&lt;2k)</c:v>
                </c:pt>
                <c:pt idx="3">
                  <c:v>NULL</c:v>
                </c:pt>
              </c:strCache>
            </c:strRef>
          </c:cat>
          <c:val>
            <c:numRef>
              <c:f>'RENDA POR  CATEGORIA'!$B$2:$B$5</c:f>
              <c:numCache>
                <c:formatCode>General</c:formatCode>
                <c:ptCount val="4"/>
                <c:pt idx="0">
                  <c:v>450893</c:v>
                </c:pt>
                <c:pt idx="1">
                  <c:v>19202</c:v>
                </c:pt>
                <c:pt idx="2">
                  <c:v>9426</c:v>
                </c:pt>
                <c:pt idx="3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2-4552-8BAA-7011ABF091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18873760"/>
        <c:axId val="318874240"/>
      </c:barChart>
      <c:catAx>
        <c:axId val="31887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874240"/>
        <c:crosses val="autoZero"/>
        <c:auto val="1"/>
        <c:lblAlgn val="ctr"/>
        <c:lblOffset val="100"/>
        <c:noMultiLvlLbl val="0"/>
      </c:catAx>
      <c:valAx>
        <c:axId val="318874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887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Divergencia_Qtd_uf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Divergencia_Qtd_uf!$B$1</c:f>
              <c:strCache>
                <c:ptCount val="1"/>
                <c:pt idx="0">
                  <c:v>Qtd_BaseGeral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Divergencia_Qtd_uf!$A$2:$A$25</c:f>
              <c:strCache>
                <c:ptCount val="24"/>
                <c:pt idx="0">
                  <c:v>PE</c:v>
                </c:pt>
                <c:pt idx="1">
                  <c:v>PB</c:v>
                </c:pt>
                <c:pt idx="2">
                  <c:v>PA</c:v>
                </c:pt>
                <c:pt idx="3">
                  <c:v>RS</c:v>
                </c:pt>
                <c:pt idx="4">
                  <c:v>AC</c:v>
                </c:pt>
                <c:pt idx="5">
                  <c:v>BA</c:v>
                </c:pt>
                <c:pt idx="6">
                  <c:v>SC</c:v>
                </c:pt>
                <c:pt idx="7">
                  <c:v>MA</c:v>
                </c:pt>
                <c:pt idx="8">
                  <c:v>RO</c:v>
                </c:pt>
                <c:pt idx="9">
                  <c:v>DF</c:v>
                </c:pt>
                <c:pt idx="10">
                  <c:v>MT</c:v>
                </c:pt>
                <c:pt idx="11">
                  <c:v>PR</c:v>
                </c:pt>
                <c:pt idx="12">
                  <c:v>CE</c:v>
                </c:pt>
                <c:pt idx="13">
                  <c:v>AL</c:v>
                </c:pt>
                <c:pt idx="14">
                  <c:v>RR</c:v>
                </c:pt>
                <c:pt idx="15">
                  <c:v>MG</c:v>
                </c:pt>
                <c:pt idx="16">
                  <c:v>MS</c:v>
                </c:pt>
                <c:pt idx="17">
                  <c:v>GO</c:v>
                </c:pt>
                <c:pt idx="18">
                  <c:v>RN</c:v>
                </c:pt>
                <c:pt idx="19">
                  <c:v>AP</c:v>
                </c:pt>
                <c:pt idx="20">
                  <c:v>RJ</c:v>
                </c:pt>
                <c:pt idx="21">
                  <c:v>ES</c:v>
                </c:pt>
                <c:pt idx="22">
                  <c:v>AM</c:v>
                </c:pt>
                <c:pt idx="23">
                  <c:v>PI</c:v>
                </c:pt>
              </c:strCache>
            </c:strRef>
          </c:cat>
          <c:val>
            <c:numRef>
              <c:f>Divergencia_Qtd_uf!$B$2:$B$25</c:f>
              <c:numCache>
                <c:formatCode>General</c:formatCode>
                <c:ptCount val="24"/>
                <c:pt idx="0">
                  <c:v>1895</c:v>
                </c:pt>
                <c:pt idx="1">
                  <c:v>1897</c:v>
                </c:pt>
                <c:pt idx="2">
                  <c:v>1897</c:v>
                </c:pt>
                <c:pt idx="3">
                  <c:v>1897</c:v>
                </c:pt>
                <c:pt idx="4">
                  <c:v>1901</c:v>
                </c:pt>
                <c:pt idx="5">
                  <c:v>1900</c:v>
                </c:pt>
                <c:pt idx="6">
                  <c:v>1897</c:v>
                </c:pt>
                <c:pt idx="7">
                  <c:v>1901</c:v>
                </c:pt>
                <c:pt idx="8">
                  <c:v>1900</c:v>
                </c:pt>
                <c:pt idx="9">
                  <c:v>1900</c:v>
                </c:pt>
                <c:pt idx="10">
                  <c:v>1920</c:v>
                </c:pt>
                <c:pt idx="11">
                  <c:v>1908</c:v>
                </c:pt>
                <c:pt idx="12">
                  <c:v>1900</c:v>
                </c:pt>
                <c:pt idx="13">
                  <c:v>1899</c:v>
                </c:pt>
                <c:pt idx="14">
                  <c:v>1910</c:v>
                </c:pt>
                <c:pt idx="15">
                  <c:v>1911</c:v>
                </c:pt>
                <c:pt idx="16">
                  <c:v>1915</c:v>
                </c:pt>
                <c:pt idx="17">
                  <c:v>1901</c:v>
                </c:pt>
                <c:pt idx="18">
                  <c:v>1900</c:v>
                </c:pt>
                <c:pt idx="19">
                  <c:v>1900</c:v>
                </c:pt>
                <c:pt idx="20">
                  <c:v>1897</c:v>
                </c:pt>
                <c:pt idx="21">
                  <c:v>1901</c:v>
                </c:pt>
                <c:pt idx="22">
                  <c:v>1904</c:v>
                </c:pt>
                <c:pt idx="23">
                  <c:v>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0-4BCA-BCB0-DE074AF00110}"/>
            </c:ext>
          </c:extLst>
        </c:ser>
        <c:ser>
          <c:idx val="1"/>
          <c:order val="1"/>
          <c:tx>
            <c:strRef>
              <c:f>Divergencia_Qtd_uf!$C$1</c:f>
              <c:strCache>
                <c:ptCount val="1"/>
                <c:pt idx="0">
                  <c:v>Qtd_BaseUF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Divergencia_Qtd_uf!$A$2:$A$25</c:f>
              <c:strCache>
                <c:ptCount val="24"/>
                <c:pt idx="0">
                  <c:v>PE</c:v>
                </c:pt>
                <c:pt idx="1">
                  <c:v>PB</c:v>
                </c:pt>
                <c:pt idx="2">
                  <c:v>PA</c:v>
                </c:pt>
                <c:pt idx="3">
                  <c:v>RS</c:v>
                </c:pt>
                <c:pt idx="4">
                  <c:v>AC</c:v>
                </c:pt>
                <c:pt idx="5">
                  <c:v>BA</c:v>
                </c:pt>
                <c:pt idx="6">
                  <c:v>SC</c:v>
                </c:pt>
                <c:pt idx="7">
                  <c:v>MA</c:v>
                </c:pt>
                <c:pt idx="8">
                  <c:v>RO</c:v>
                </c:pt>
                <c:pt idx="9">
                  <c:v>DF</c:v>
                </c:pt>
                <c:pt idx="10">
                  <c:v>MT</c:v>
                </c:pt>
                <c:pt idx="11">
                  <c:v>PR</c:v>
                </c:pt>
                <c:pt idx="12">
                  <c:v>CE</c:v>
                </c:pt>
                <c:pt idx="13">
                  <c:v>AL</c:v>
                </c:pt>
                <c:pt idx="14">
                  <c:v>RR</c:v>
                </c:pt>
                <c:pt idx="15">
                  <c:v>MG</c:v>
                </c:pt>
                <c:pt idx="16">
                  <c:v>MS</c:v>
                </c:pt>
                <c:pt idx="17">
                  <c:v>GO</c:v>
                </c:pt>
                <c:pt idx="18">
                  <c:v>RN</c:v>
                </c:pt>
                <c:pt idx="19">
                  <c:v>AP</c:v>
                </c:pt>
                <c:pt idx="20">
                  <c:v>RJ</c:v>
                </c:pt>
                <c:pt idx="21">
                  <c:v>ES</c:v>
                </c:pt>
                <c:pt idx="22">
                  <c:v>AM</c:v>
                </c:pt>
                <c:pt idx="23">
                  <c:v>PI</c:v>
                </c:pt>
              </c:strCache>
            </c:strRef>
          </c:cat>
          <c:val>
            <c:numRef>
              <c:f>Divergencia_Qtd_uf!$C$2:$C$25</c:f>
              <c:numCache>
                <c:formatCode>General</c:formatCode>
                <c:ptCount val="24"/>
                <c:pt idx="0">
                  <c:v>27531</c:v>
                </c:pt>
                <c:pt idx="1">
                  <c:v>27533</c:v>
                </c:pt>
                <c:pt idx="2">
                  <c:v>27533</c:v>
                </c:pt>
                <c:pt idx="3">
                  <c:v>27533</c:v>
                </c:pt>
                <c:pt idx="4">
                  <c:v>27537</c:v>
                </c:pt>
                <c:pt idx="5">
                  <c:v>27536</c:v>
                </c:pt>
                <c:pt idx="6">
                  <c:v>27533</c:v>
                </c:pt>
                <c:pt idx="7">
                  <c:v>27537</c:v>
                </c:pt>
                <c:pt idx="8">
                  <c:v>27536</c:v>
                </c:pt>
                <c:pt idx="9">
                  <c:v>27536</c:v>
                </c:pt>
                <c:pt idx="10">
                  <c:v>27556</c:v>
                </c:pt>
                <c:pt idx="11">
                  <c:v>27544</c:v>
                </c:pt>
                <c:pt idx="12">
                  <c:v>27536</c:v>
                </c:pt>
                <c:pt idx="13">
                  <c:v>27535</c:v>
                </c:pt>
                <c:pt idx="14">
                  <c:v>27546</c:v>
                </c:pt>
                <c:pt idx="15">
                  <c:v>27547</c:v>
                </c:pt>
                <c:pt idx="16">
                  <c:v>27551</c:v>
                </c:pt>
                <c:pt idx="17">
                  <c:v>27537</c:v>
                </c:pt>
                <c:pt idx="18">
                  <c:v>27536</c:v>
                </c:pt>
                <c:pt idx="19">
                  <c:v>27536</c:v>
                </c:pt>
                <c:pt idx="20">
                  <c:v>27533</c:v>
                </c:pt>
                <c:pt idx="21">
                  <c:v>27537</c:v>
                </c:pt>
                <c:pt idx="22">
                  <c:v>27540</c:v>
                </c:pt>
                <c:pt idx="23">
                  <c:v>27533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0-4BCA-BCB0-DE074AF00110}"/>
            </c:ext>
          </c:extLst>
        </c:ser>
        <c:ser>
          <c:idx val="2"/>
          <c:order val="2"/>
          <c:tx>
            <c:strRef>
              <c:f>Divergencia_Qtd_uf!$D$1</c:f>
              <c:strCache>
                <c:ptCount val="1"/>
                <c:pt idx="0">
                  <c:v>Diferença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Divergencia_Qtd_uf!$A$2:$A$25</c:f>
              <c:strCache>
                <c:ptCount val="24"/>
                <c:pt idx="0">
                  <c:v>PE</c:v>
                </c:pt>
                <c:pt idx="1">
                  <c:v>PB</c:v>
                </c:pt>
                <c:pt idx="2">
                  <c:v>PA</c:v>
                </c:pt>
                <c:pt idx="3">
                  <c:v>RS</c:v>
                </c:pt>
                <c:pt idx="4">
                  <c:v>AC</c:v>
                </c:pt>
                <c:pt idx="5">
                  <c:v>BA</c:v>
                </c:pt>
                <c:pt idx="6">
                  <c:v>SC</c:v>
                </c:pt>
                <c:pt idx="7">
                  <c:v>MA</c:v>
                </c:pt>
                <c:pt idx="8">
                  <c:v>RO</c:v>
                </c:pt>
                <c:pt idx="9">
                  <c:v>DF</c:v>
                </c:pt>
                <c:pt idx="10">
                  <c:v>MT</c:v>
                </c:pt>
                <c:pt idx="11">
                  <c:v>PR</c:v>
                </c:pt>
                <c:pt idx="12">
                  <c:v>CE</c:v>
                </c:pt>
                <c:pt idx="13">
                  <c:v>AL</c:v>
                </c:pt>
                <c:pt idx="14">
                  <c:v>RR</c:v>
                </c:pt>
                <c:pt idx="15">
                  <c:v>MG</c:v>
                </c:pt>
                <c:pt idx="16">
                  <c:v>MS</c:v>
                </c:pt>
                <c:pt idx="17">
                  <c:v>GO</c:v>
                </c:pt>
                <c:pt idx="18">
                  <c:v>RN</c:v>
                </c:pt>
                <c:pt idx="19">
                  <c:v>AP</c:v>
                </c:pt>
                <c:pt idx="20">
                  <c:v>RJ</c:v>
                </c:pt>
                <c:pt idx="21">
                  <c:v>ES</c:v>
                </c:pt>
                <c:pt idx="22">
                  <c:v>AM</c:v>
                </c:pt>
                <c:pt idx="23">
                  <c:v>PI</c:v>
                </c:pt>
              </c:strCache>
            </c:strRef>
          </c:cat>
          <c:val>
            <c:numRef>
              <c:f>Divergencia_Qtd_uf!$D$2:$D$25</c:f>
              <c:numCache>
                <c:formatCode>General</c:formatCode>
                <c:ptCount val="24"/>
                <c:pt idx="0">
                  <c:v>25636</c:v>
                </c:pt>
                <c:pt idx="1">
                  <c:v>25636</c:v>
                </c:pt>
                <c:pt idx="2">
                  <c:v>25636</c:v>
                </c:pt>
                <c:pt idx="3">
                  <c:v>25636</c:v>
                </c:pt>
                <c:pt idx="4">
                  <c:v>25636</c:v>
                </c:pt>
                <c:pt idx="5">
                  <c:v>25636</c:v>
                </c:pt>
                <c:pt idx="6">
                  <c:v>25636</c:v>
                </c:pt>
                <c:pt idx="7">
                  <c:v>25636</c:v>
                </c:pt>
                <c:pt idx="8">
                  <c:v>25636</c:v>
                </c:pt>
                <c:pt idx="9">
                  <c:v>25636</c:v>
                </c:pt>
                <c:pt idx="10">
                  <c:v>25636</c:v>
                </c:pt>
                <c:pt idx="11">
                  <c:v>25636</c:v>
                </c:pt>
                <c:pt idx="12">
                  <c:v>25636</c:v>
                </c:pt>
                <c:pt idx="13">
                  <c:v>25636</c:v>
                </c:pt>
                <c:pt idx="14">
                  <c:v>25636</c:v>
                </c:pt>
                <c:pt idx="15">
                  <c:v>25636</c:v>
                </c:pt>
                <c:pt idx="16">
                  <c:v>25636</c:v>
                </c:pt>
                <c:pt idx="17">
                  <c:v>25636</c:v>
                </c:pt>
                <c:pt idx="18">
                  <c:v>25636</c:v>
                </c:pt>
                <c:pt idx="19">
                  <c:v>25636</c:v>
                </c:pt>
                <c:pt idx="20">
                  <c:v>25636</c:v>
                </c:pt>
                <c:pt idx="21">
                  <c:v>25636</c:v>
                </c:pt>
                <c:pt idx="22">
                  <c:v>25636</c:v>
                </c:pt>
                <c:pt idx="23">
                  <c:v>25636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0-4BCA-BCB0-DE074AF00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92271"/>
        <c:axId val="17693231"/>
      </c:barChart>
      <c:catAx>
        <c:axId val="1769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93231"/>
        <c:crosses val="autoZero"/>
        <c:auto val="1"/>
        <c:lblAlgn val="ctr"/>
        <c:lblOffset val="100"/>
        <c:noMultiLvlLbl val="0"/>
      </c:catAx>
      <c:valAx>
        <c:axId val="17693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9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827183008924044"/>
          <c:y val="0.92415677253826423"/>
          <c:w val="0.39478343173673691"/>
          <c:h val="7.57751149988155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424814</xdr:colOff>
      <xdr:row>1</xdr:row>
      <xdr:rowOff>24130</xdr:rowOff>
    </xdr:from>
    <xdr:to>
      <xdr:col>15</xdr:col>
      <xdr:colOff>488950</xdr:colOff>
      <xdr:row>15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18D051-DD5D-FEAA-E5DF-2D68D6DA6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</xdr:colOff>
      <xdr:row>0</xdr:row>
      <xdr:rowOff>8890</xdr:rowOff>
    </xdr:from>
    <xdr:to>
      <xdr:col>10</xdr:col>
      <xdr:colOff>319405</xdr:colOff>
      <xdr:row>15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102C96-16A4-1D36-FA9E-E583A063E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634</xdr:colOff>
      <xdr:row>1</xdr:row>
      <xdr:rowOff>31750</xdr:rowOff>
    </xdr:from>
    <xdr:to>
      <xdr:col>15</xdr:col>
      <xdr:colOff>218440</xdr:colOff>
      <xdr:row>16</xdr:row>
      <xdr:rowOff>97790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40B867-FC6A-211A-D7D6-218571B0C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7289CB5B-B1BF-4565-B1EE-48FAF6563538}" autoFormatId="16" applyNumberFormats="0" applyBorderFormats="0" applyFontFormats="0" applyPatternFormats="0" applyAlignmentFormats="0" applyWidthHeightFormats="0">
  <queryTableRefresh nextId="4">
    <queryTableFields count="3">
      <queryTableField id="1" name="UF" tableColumnId="1"/>
      <queryTableField id="2" name="Renda Media" tableColumnId="2"/>
      <queryTableField id="3" name="Idade Media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186F1271-3C52-4DDA-986E-4E0A9E89F242}" autoFormatId="16" applyNumberFormats="0" applyBorderFormats="0" applyFontFormats="0" applyPatternFormats="0" applyAlignmentFormats="0" applyWidthHeightFormats="0">
  <queryTableRefresh nextId="3">
    <queryTableFields count="2">
      <queryTableField id="1" name="Categoria" tableColumnId="1"/>
      <queryTableField id="2" name="Renda (media)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55960A2-68AE-4273-8651-A599180C7F08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Qtd_BaseGeral" tableColumnId="2"/>
      <queryTableField id="3" name="Qtd_BaseUF" tableColumnId="3"/>
      <queryTableField id="4" name="Diferenç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9F39D7-C666-40C5-B19D-8D54F5613E40}" name="Rendamedia_Idademedia" displayName="Rendamedia_Idademedia" ref="A1:C25" tableType="queryTable" totalsRowShown="0">
  <autoFilter ref="A1:C25" xr:uid="{2D9F39D7-C666-40C5-B19D-8D54F5613E40}"/>
  <sortState xmlns:xlrd2="http://schemas.microsoft.com/office/spreadsheetml/2017/richdata2" ref="A2:C25">
    <sortCondition descending="1" ref="B2:B25"/>
  </sortState>
  <tableColumns count="3">
    <tableColumn id="1" xr3:uid="{4BD1B632-DE85-4CEB-9B35-EBE06AFD0EBE}" uniqueName="1" name="UF" queryTableFieldId="1" dataDxfId="2"/>
    <tableColumn id="2" xr3:uid="{17D4ECC7-9DC9-482F-A921-BE4E47ED7DA4}" uniqueName="2" name="Renda Media" queryTableFieldId="2"/>
    <tableColumn id="3" xr3:uid="{6573E4FD-0759-44FA-957C-F7503C794087}" uniqueName="3" name="Idade Media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9DA5C6-0482-4A4E-BFC0-35059188B011}" name="RENDA_POR__CATEGORIA" displayName="RENDA_POR__CATEGORIA" ref="A1:B5" tableType="queryTable" totalsRowShown="0">
  <autoFilter ref="A1:B5" xr:uid="{6C9DA5C6-0482-4A4E-BFC0-35059188B011}"/>
  <tableColumns count="2">
    <tableColumn id="1" xr3:uid="{62C579CF-BD87-4701-8D31-E3D36725F3EF}" uniqueName="1" name="Categoria" queryTableFieldId="1" dataDxfId="0"/>
    <tableColumn id="2" xr3:uid="{4740D905-CF76-463E-BC56-A3C787428956}" uniqueName="2" name="Renda (media)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31DE4-B646-404A-AE68-748ABC6FB59B}" name="Divergencia_Qtd_uf" displayName="Divergencia_Qtd_uf" ref="A1:D25" tableType="queryTable" totalsRowShown="0">
  <autoFilter ref="A1:D25" xr:uid="{CF331DE4-B646-404A-AE68-748ABC6FB59B}"/>
  <tableColumns count="4">
    <tableColumn id="1" xr3:uid="{200BCAB0-440C-4861-8BB3-E9038E206B34}" uniqueName="1" name="UF" queryTableFieldId="1" dataDxfId="1"/>
    <tableColumn id="2" xr3:uid="{805BA389-0B9D-4DA4-BF58-563E80CA3543}" uniqueName="2" name="Qtd_BaseGeral" queryTableFieldId="2"/>
    <tableColumn id="3" xr3:uid="{ABD24A77-5E37-48EE-9AAC-BDDD237A86DB}" uniqueName="3" name="Qtd_BaseUF" queryTableFieldId="3"/>
    <tableColumn id="4" xr3:uid="{41CD713A-37E6-4656-943D-1C50AEBDCEEA}" uniqueName="4" name="Diferença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98CE-A930-4DDA-8617-6934B0CF3256}">
  <dimension ref="A1:C25"/>
  <sheetViews>
    <sheetView workbookViewId="0">
      <selection activeCell="R9" sqref="R9"/>
    </sheetView>
  </sheetViews>
  <sheetFormatPr defaultRowHeight="14.4" x14ac:dyDescent="0.3"/>
  <cols>
    <col min="1" max="1" width="5.44140625" bestFit="1" customWidth="1"/>
    <col min="2" max="2" width="14.109375" bestFit="1" customWidth="1"/>
    <col min="3" max="3" width="13.44140625" bestFit="1" customWidth="1"/>
  </cols>
  <sheetData>
    <row r="1" spans="1:3" x14ac:dyDescent="0.3">
      <c r="A1" t="s">
        <v>0</v>
      </c>
      <c r="B1" t="s">
        <v>28</v>
      </c>
      <c r="C1" t="s">
        <v>29</v>
      </c>
    </row>
    <row r="2" spans="1:3" x14ac:dyDescent="0.3">
      <c r="A2" t="s">
        <v>21</v>
      </c>
      <c r="B2">
        <v>50294</v>
      </c>
      <c r="C2">
        <v>53</v>
      </c>
    </row>
    <row r="3" spans="1:3" x14ac:dyDescent="0.3">
      <c r="A3" t="s">
        <v>11</v>
      </c>
      <c r="B3">
        <v>50285</v>
      </c>
      <c r="C3">
        <v>52</v>
      </c>
    </row>
    <row r="4" spans="1:3" x14ac:dyDescent="0.3">
      <c r="A4" t="s">
        <v>7</v>
      </c>
      <c r="B4">
        <v>50240</v>
      </c>
      <c r="C4">
        <v>52</v>
      </c>
    </row>
    <row r="5" spans="1:3" x14ac:dyDescent="0.3">
      <c r="A5" t="s">
        <v>9</v>
      </c>
      <c r="B5">
        <v>50239</v>
      </c>
      <c r="C5">
        <v>53</v>
      </c>
    </row>
    <row r="6" spans="1:3" x14ac:dyDescent="0.3">
      <c r="A6" t="s">
        <v>4</v>
      </c>
      <c r="B6">
        <v>50184</v>
      </c>
      <c r="C6">
        <v>52</v>
      </c>
    </row>
    <row r="7" spans="1:3" x14ac:dyDescent="0.3">
      <c r="A7" t="s">
        <v>12</v>
      </c>
      <c r="B7">
        <v>50067</v>
      </c>
      <c r="C7">
        <v>52</v>
      </c>
    </row>
    <row r="8" spans="1:3" x14ac:dyDescent="0.3">
      <c r="A8" t="s">
        <v>19</v>
      </c>
      <c r="B8">
        <v>50064</v>
      </c>
      <c r="C8">
        <v>51</v>
      </c>
    </row>
    <row r="9" spans="1:3" x14ac:dyDescent="0.3">
      <c r="A9" t="s">
        <v>15</v>
      </c>
      <c r="B9">
        <v>50060</v>
      </c>
      <c r="C9">
        <v>52</v>
      </c>
    </row>
    <row r="10" spans="1:3" x14ac:dyDescent="0.3">
      <c r="A10" t="s">
        <v>13</v>
      </c>
      <c r="B10">
        <v>50054</v>
      </c>
      <c r="C10">
        <v>53</v>
      </c>
    </row>
    <row r="11" spans="1:3" x14ac:dyDescent="0.3">
      <c r="A11" t="s">
        <v>18</v>
      </c>
      <c r="B11">
        <v>50046</v>
      </c>
      <c r="C11">
        <v>52</v>
      </c>
    </row>
    <row r="12" spans="1:3" x14ac:dyDescent="0.3">
      <c r="A12" t="s">
        <v>22</v>
      </c>
      <c r="B12">
        <v>50014</v>
      </c>
      <c r="C12">
        <v>52</v>
      </c>
    </row>
    <row r="13" spans="1:3" x14ac:dyDescent="0.3">
      <c r="A13" t="s">
        <v>16</v>
      </c>
      <c r="B13">
        <v>49984</v>
      </c>
      <c r="C13">
        <v>53</v>
      </c>
    </row>
    <row r="14" spans="1:3" x14ac:dyDescent="0.3">
      <c r="A14" t="s">
        <v>14</v>
      </c>
      <c r="B14">
        <v>49982</v>
      </c>
      <c r="C14">
        <v>52</v>
      </c>
    </row>
    <row r="15" spans="1:3" x14ac:dyDescent="0.3">
      <c r="A15" t="s">
        <v>20</v>
      </c>
      <c r="B15">
        <v>49976</v>
      </c>
      <c r="C15">
        <v>52</v>
      </c>
    </row>
    <row r="16" spans="1:3" x14ac:dyDescent="0.3">
      <c r="A16" t="s">
        <v>10</v>
      </c>
      <c r="B16">
        <v>49966</v>
      </c>
      <c r="C16">
        <v>52</v>
      </c>
    </row>
    <row r="17" spans="1:3" x14ac:dyDescent="0.3">
      <c r="A17" t="s">
        <v>27</v>
      </c>
      <c r="B17">
        <v>49944</v>
      </c>
      <c r="C17">
        <v>52</v>
      </c>
    </row>
    <row r="18" spans="1:3" x14ac:dyDescent="0.3">
      <c r="A18" t="s">
        <v>24</v>
      </c>
      <c r="B18">
        <v>49897</v>
      </c>
      <c r="C18">
        <v>52</v>
      </c>
    </row>
    <row r="19" spans="1:3" x14ac:dyDescent="0.3">
      <c r="A19" t="s">
        <v>25</v>
      </c>
      <c r="B19">
        <v>49872</v>
      </c>
      <c r="C19">
        <v>53</v>
      </c>
    </row>
    <row r="20" spans="1:3" x14ac:dyDescent="0.3">
      <c r="A20" t="s">
        <v>8</v>
      </c>
      <c r="B20">
        <v>49786</v>
      </c>
      <c r="C20">
        <v>52</v>
      </c>
    </row>
    <row r="21" spans="1:3" x14ac:dyDescent="0.3">
      <c r="A21" t="s">
        <v>5</v>
      </c>
      <c r="B21">
        <v>49768</v>
      </c>
      <c r="C21">
        <v>52</v>
      </c>
    </row>
    <row r="22" spans="1:3" x14ac:dyDescent="0.3">
      <c r="A22" t="s">
        <v>26</v>
      </c>
      <c r="B22">
        <v>49738</v>
      </c>
      <c r="C22">
        <v>52</v>
      </c>
    </row>
    <row r="23" spans="1:3" x14ac:dyDescent="0.3">
      <c r="A23" t="s">
        <v>17</v>
      </c>
      <c r="B23">
        <v>49722</v>
      </c>
      <c r="C23">
        <v>52</v>
      </c>
    </row>
    <row r="24" spans="1:3" x14ac:dyDescent="0.3">
      <c r="A24" t="s">
        <v>23</v>
      </c>
      <c r="B24">
        <v>49675</v>
      </c>
      <c r="C24">
        <v>52</v>
      </c>
    </row>
    <row r="25" spans="1:3" x14ac:dyDescent="0.3">
      <c r="A25" t="s">
        <v>6</v>
      </c>
      <c r="B25">
        <v>49619</v>
      </c>
      <c r="C25">
        <v>51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2BBC-3728-4043-A8D8-DDE12E9E5E29}">
  <dimension ref="A1:B5"/>
  <sheetViews>
    <sheetView workbookViewId="0">
      <selection activeCell="B13" sqref="B13"/>
    </sheetView>
  </sheetViews>
  <sheetFormatPr defaultRowHeight="14.4" x14ac:dyDescent="0.3"/>
  <cols>
    <col min="1" max="1" width="22.21875" bestFit="1" customWidth="1"/>
    <col min="2" max="2" width="15.6640625" bestFit="1" customWidth="1"/>
  </cols>
  <sheetData>
    <row r="1" spans="1:2" x14ac:dyDescent="0.3">
      <c r="A1" t="s">
        <v>30</v>
      </c>
      <c r="B1" t="s">
        <v>31</v>
      </c>
    </row>
    <row r="2" spans="1:2" x14ac:dyDescent="0.3">
      <c r="A2" s="2" t="s">
        <v>32</v>
      </c>
      <c r="B2">
        <v>450893</v>
      </c>
    </row>
    <row r="3" spans="1:2" x14ac:dyDescent="0.3">
      <c r="A3" s="2" t="s">
        <v>33</v>
      </c>
      <c r="B3">
        <v>19202</v>
      </c>
    </row>
    <row r="4" spans="1:2" x14ac:dyDescent="0.3">
      <c r="A4" s="2" t="s">
        <v>34</v>
      </c>
      <c r="B4">
        <v>9426</v>
      </c>
    </row>
    <row r="5" spans="1:2" x14ac:dyDescent="0.3">
      <c r="A5" s="2" t="s">
        <v>35</v>
      </c>
      <c r="B5">
        <v>94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2E53-B877-430A-B83B-CE43A119737D}">
  <dimension ref="A1:E28"/>
  <sheetViews>
    <sheetView tabSelected="1" workbookViewId="0">
      <selection activeCell="E5" sqref="E5"/>
    </sheetView>
  </sheetViews>
  <sheetFormatPr defaultRowHeight="14.4" x14ac:dyDescent="0.3"/>
  <cols>
    <col min="1" max="1" width="5.44140625" bestFit="1" customWidth="1"/>
    <col min="2" max="2" width="15.77734375" bestFit="1" customWidth="1"/>
    <col min="3" max="3" width="13.33203125" bestFit="1" customWidth="1"/>
    <col min="4" max="4" width="11.44140625" bestFit="1" customWidth="1"/>
    <col min="5" max="5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1895</v>
      </c>
      <c r="C2">
        <v>27531</v>
      </c>
      <c r="D2">
        <v>25636</v>
      </c>
    </row>
    <row r="3" spans="1:4" x14ac:dyDescent="0.3">
      <c r="A3" t="s">
        <v>5</v>
      </c>
      <c r="B3">
        <v>1897</v>
      </c>
      <c r="C3">
        <v>27533</v>
      </c>
      <c r="D3">
        <v>25636</v>
      </c>
    </row>
    <row r="4" spans="1:4" x14ac:dyDescent="0.3">
      <c r="A4" t="s">
        <v>6</v>
      </c>
      <c r="B4">
        <v>1897</v>
      </c>
      <c r="C4">
        <v>27533</v>
      </c>
      <c r="D4">
        <v>25636</v>
      </c>
    </row>
    <row r="5" spans="1:4" x14ac:dyDescent="0.3">
      <c r="A5" t="s">
        <v>7</v>
      </c>
      <c r="B5">
        <v>1897</v>
      </c>
      <c r="C5">
        <v>27533</v>
      </c>
      <c r="D5">
        <v>25636</v>
      </c>
    </row>
    <row r="6" spans="1:4" x14ac:dyDescent="0.3">
      <c r="A6" t="s">
        <v>8</v>
      </c>
      <c r="B6">
        <v>1901</v>
      </c>
      <c r="C6">
        <v>27537</v>
      </c>
      <c r="D6">
        <v>25636</v>
      </c>
    </row>
    <row r="7" spans="1:4" x14ac:dyDescent="0.3">
      <c r="A7" t="s">
        <v>9</v>
      </c>
      <c r="B7">
        <v>1900</v>
      </c>
      <c r="C7">
        <v>27536</v>
      </c>
      <c r="D7">
        <v>25636</v>
      </c>
    </row>
    <row r="8" spans="1:4" x14ac:dyDescent="0.3">
      <c r="A8" t="s">
        <v>10</v>
      </c>
      <c r="B8">
        <v>1897</v>
      </c>
      <c r="C8">
        <v>27533</v>
      </c>
      <c r="D8">
        <v>25636</v>
      </c>
    </row>
    <row r="9" spans="1:4" x14ac:dyDescent="0.3">
      <c r="A9" t="s">
        <v>11</v>
      </c>
      <c r="B9">
        <v>1901</v>
      </c>
      <c r="C9">
        <v>27537</v>
      </c>
      <c r="D9">
        <v>25636</v>
      </c>
    </row>
    <row r="10" spans="1:4" x14ac:dyDescent="0.3">
      <c r="A10" t="s">
        <v>12</v>
      </c>
      <c r="B10">
        <v>1900</v>
      </c>
      <c r="C10">
        <v>27536</v>
      </c>
      <c r="D10">
        <v>25636</v>
      </c>
    </row>
    <row r="11" spans="1:4" x14ac:dyDescent="0.3">
      <c r="A11" t="s">
        <v>13</v>
      </c>
      <c r="B11">
        <v>1900</v>
      </c>
      <c r="C11">
        <v>27536</v>
      </c>
      <c r="D11">
        <v>25636</v>
      </c>
    </row>
    <row r="12" spans="1:4" x14ac:dyDescent="0.3">
      <c r="A12" t="s">
        <v>14</v>
      </c>
      <c r="B12">
        <v>1920</v>
      </c>
      <c r="C12">
        <v>27556</v>
      </c>
      <c r="D12">
        <v>25636</v>
      </c>
    </row>
    <row r="13" spans="1:4" x14ac:dyDescent="0.3">
      <c r="A13" t="s">
        <v>15</v>
      </c>
      <c r="B13">
        <v>1908</v>
      </c>
      <c r="C13">
        <v>27544</v>
      </c>
      <c r="D13">
        <v>25636</v>
      </c>
    </row>
    <row r="14" spans="1:4" x14ac:dyDescent="0.3">
      <c r="A14" t="s">
        <v>16</v>
      </c>
      <c r="B14">
        <v>1900</v>
      </c>
      <c r="C14">
        <v>27536</v>
      </c>
      <c r="D14">
        <v>25636</v>
      </c>
    </row>
    <row r="15" spans="1:4" x14ac:dyDescent="0.3">
      <c r="A15" t="s">
        <v>17</v>
      </c>
      <c r="B15">
        <v>1899</v>
      </c>
      <c r="C15">
        <v>27535</v>
      </c>
      <c r="D15">
        <v>25636</v>
      </c>
    </row>
    <row r="16" spans="1:4" x14ac:dyDescent="0.3">
      <c r="A16" t="s">
        <v>18</v>
      </c>
      <c r="B16">
        <v>1910</v>
      </c>
      <c r="C16">
        <v>27546</v>
      </c>
      <c r="D16">
        <v>25636</v>
      </c>
    </row>
    <row r="17" spans="1:5" x14ac:dyDescent="0.3">
      <c r="A17" t="s">
        <v>19</v>
      </c>
      <c r="B17">
        <v>1911</v>
      </c>
      <c r="C17">
        <v>27547</v>
      </c>
      <c r="D17">
        <v>25636</v>
      </c>
    </row>
    <row r="18" spans="1:5" x14ac:dyDescent="0.3">
      <c r="A18" t="s">
        <v>20</v>
      </c>
      <c r="B18">
        <v>1915</v>
      </c>
      <c r="C18">
        <v>27551</v>
      </c>
      <c r="D18">
        <v>25636</v>
      </c>
    </row>
    <row r="19" spans="1:5" x14ac:dyDescent="0.3">
      <c r="A19" t="s">
        <v>21</v>
      </c>
      <c r="B19">
        <v>1901</v>
      </c>
      <c r="C19">
        <v>27537</v>
      </c>
      <c r="D19">
        <v>25636</v>
      </c>
    </row>
    <row r="20" spans="1:5" x14ac:dyDescent="0.3">
      <c r="A20" t="s">
        <v>22</v>
      </c>
      <c r="B20">
        <v>1900</v>
      </c>
      <c r="C20">
        <v>27536</v>
      </c>
      <c r="D20">
        <v>25636</v>
      </c>
    </row>
    <row r="21" spans="1:5" x14ac:dyDescent="0.3">
      <c r="A21" t="s">
        <v>23</v>
      </c>
      <c r="B21">
        <v>1900</v>
      </c>
      <c r="C21">
        <v>27536</v>
      </c>
      <c r="D21">
        <v>25636</v>
      </c>
    </row>
    <row r="22" spans="1:5" x14ac:dyDescent="0.3">
      <c r="A22" t="s">
        <v>24</v>
      </c>
      <c r="B22">
        <v>1897</v>
      </c>
      <c r="C22">
        <v>27533</v>
      </c>
      <c r="D22">
        <v>25636</v>
      </c>
    </row>
    <row r="23" spans="1:5" x14ac:dyDescent="0.3">
      <c r="A23" t="s">
        <v>25</v>
      </c>
      <c r="B23">
        <v>1901</v>
      </c>
      <c r="C23">
        <v>27537</v>
      </c>
      <c r="D23">
        <v>25636</v>
      </c>
    </row>
    <row r="24" spans="1:5" x14ac:dyDescent="0.3">
      <c r="A24" t="s">
        <v>26</v>
      </c>
      <c r="B24">
        <v>1904</v>
      </c>
      <c r="C24">
        <v>27540</v>
      </c>
      <c r="D24">
        <v>25636</v>
      </c>
    </row>
    <row r="25" spans="1:5" x14ac:dyDescent="0.3">
      <c r="A25" t="s">
        <v>27</v>
      </c>
      <c r="B25">
        <v>1897</v>
      </c>
      <c r="C25">
        <v>27533</v>
      </c>
      <c r="D25">
        <v>25636</v>
      </c>
    </row>
    <row r="27" spans="1:5" x14ac:dyDescent="0.3">
      <c r="B27">
        <f>SUM(Divergencia_Qtd_uf[Qtd_BaseGeral])</f>
        <v>45648</v>
      </c>
      <c r="C27">
        <f>SUM(Divergencia_Qtd_uf[Qtd_BaseUF])</f>
        <v>660912</v>
      </c>
      <c r="D27">
        <f>SUM(Divergencia_Qtd_uf[Diferença])</f>
        <v>615264</v>
      </c>
      <c r="E27" s="1">
        <f>B27/D27</f>
        <v>7.4192541738180684E-2</v>
      </c>
    </row>
    <row r="28" spans="1:5" x14ac:dyDescent="0.3">
      <c r="C28">
        <f>B27-C27</f>
        <v>-615264</v>
      </c>
      <c r="E28" s="1">
        <f>C27/D27</f>
        <v>1.0741925417381806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748085-888A-4E09-A947-2C9781B322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Rendamedia_Idademedia</vt:lpstr>
      <vt:lpstr>RENDA POR  CATEGORIA</vt:lpstr>
      <vt:lpstr>Divergencia_Qtd_uf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Cardoso dos Reis</dc:creator>
  <cp:lastModifiedBy>Eduardo Cardoso dos Reis</cp:lastModifiedBy>
  <dcterms:created xsi:type="dcterms:W3CDTF">2025-11-16T03:23:06Z</dcterms:created>
  <dcterms:modified xsi:type="dcterms:W3CDTF">2025-11-16T15:34:06Z</dcterms:modified>
</cp:coreProperties>
</file>